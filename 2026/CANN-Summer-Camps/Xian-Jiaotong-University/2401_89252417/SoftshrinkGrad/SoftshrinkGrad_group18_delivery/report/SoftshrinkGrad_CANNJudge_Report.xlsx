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9146642fd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汇总" sheetId="1" r:id="R907c1cb8b7e54e29"/>
    <x:sheet xmlns:r="http://schemas.openxmlformats.org/officeDocument/2006/relationships" name="测试点结果" sheetId="2" r:id="Rf27a9c470cb649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%"/>
    <x:numFmt numFmtId="202" formatCode="0.00"/>
    <x:numFmt numFmtId="203" formatCode="0.00x"/>
  </x:numFmts>
  <x:fonts count="17">
    <x:font>
      <x:sz val="11"/>
      <x:name val="Carlito"/>
    </x:font>
    <x:font>
      <x:b/>
      <x:sz val="20"/>
      <x:color rgb="FFFFFFFF"/>
      <x:name val="Microsoft YaHei"/>
    </x:font>
    <x:font>
      <x:b/>
      <x:sz val="11"/>
      <x:color rgb="FF17365D"/>
      <x:name val="Carlito"/>
    </x:font>
    <x:font>
      <x:b/>
      <x:sz val="11"/>
      <x:color rgb="FF3C4A57"/>
      <x:name val="Carlito"/>
    </x:font>
    <x:font>
      <x:b/>
      <x:sz val="11"/>
      <x:color rgb="FF274E13"/>
      <x:name val="Carlito"/>
    </x:font>
    <x:font>
      <x:b/>
      <x:sz val="13"/>
      <x:color rgb="FF274E13"/>
      <x:name val="Carlito"/>
    </x:font>
    <x:font>
      <x:sz val="12"/>
      <x:color rgb="FF274E13"/>
      <x:name val="Carlito"/>
    </x:font>
    <x:font>
      <x:b/>
      <x:sz val="11"/>
      <x:color rgb="FF7F6000"/>
      <x:name val="Carlito"/>
    </x:font>
    <x:font>
      <x:sz val="11"/>
      <x:name val="Microsoft YaHei"/>
    </x:font>
    <x:font>
      <x:b/>
      <x:sz val="11"/>
      <x:color rgb="FF17365D"/>
      <x:name val="Microsoft YaHei"/>
    </x:font>
    <x:font>
      <x:b/>
      <x:sz val="11"/>
      <x:color rgb="FF274E13"/>
      <x:name val="Microsoft YaHei"/>
    </x:font>
    <x:font>
      <x:b/>
      <x:sz val="11"/>
      <x:color rgb="FF3C4A57"/>
      <x:name val="Microsoft YaHei"/>
    </x:font>
    <x:font>
      <x:b/>
      <x:sz val="13"/>
      <x:color rgb="FF274E13"/>
      <x:name val="Microsoft YaHei"/>
    </x:font>
    <x:font>
      <x:sz val="12"/>
      <x:color rgb="FF274E13"/>
      <x:name val="Microsoft YaHei"/>
    </x:font>
    <x:font>
      <x:b/>
      <x:sz val="11"/>
      <x:color rgb="FF7F6000"/>
      <x:name val="Microsoft YaHei"/>
    </x:font>
    <x:font>
      <x:b/>
      <x:sz val="11"/>
      <x:color rgb="FFFFFFFF"/>
      <x:name val="Carlito"/>
    </x:font>
    <x:font>
      <x:b/>
      <x:sz val="11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F3F8F0"/>
      </x:patternFill>
    </x:fill>
    <x:fill>
      <x:patternFill patternType="solid">
        <x:fgColor rgb="FFFFF2CC"/>
      </x:patternFill>
    </x:fill>
  </x:fills>
  <x:borders count="26">
    <x:border/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93A68A"/>
      </x:left>
      <x:top style="thin">
        <x:color rgb="FF93A68A"/>
      </x:top>
    </x:border>
    <x:border>
      <x:right style="thin">
        <x:color rgb="FF93A68A"/>
      </x:right>
      <x:top style="thin">
        <x:color rgb="FF93A68A"/>
      </x:top>
    </x:border>
    <x:border>
      <x:left style="thin">
        <x:color rgb="FF93A68A"/>
      </x:left>
    </x:border>
    <x:border>
      <x:right style="thin">
        <x:color rgb="FF93A68A"/>
      </x:right>
    </x:border>
    <x:border>
      <x:left style="thin">
        <x:color rgb="FF93A68A"/>
      </x:left>
      <x:bottom style="thin">
        <x:color rgb="FF93A68A"/>
      </x:bottom>
    </x:border>
    <x:border>
      <x:right style="thin">
        <x:color rgb="FF93A68A"/>
      </x:right>
      <x:bottom style="thin">
        <x:color rgb="FF93A68A"/>
      </x:bottom>
    </x:border>
    <x:border>
      <x:top style="thin">
        <x:color rgb="FF93A68A"/>
      </x:top>
    </x:border>
    <x:border>
      <x:bottom style="thin">
        <x:color rgb="FF93A68A"/>
      </x:bottom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</x:border>
    <x:border>
      <x:right style="thin">
        <x:color rgb="FFC9B458"/>
      </x:right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  <x:border>
      <x:bottom style="thin">
        <x:color rgb="FFE2E8EE"/>
      </x:bottom>
    </x:border>
    <x:border>
      <x:top style="thin">
        <x:color rgb="FFE2E8EE"/>
      </x:top>
      <x:bottom style="thin">
        <x:color rgb="FFE2E8EE"/>
      </x:bottom>
    </x:border>
    <x:border>
      <x:top style="thin">
        <x:color rgb="FFE2E8EE"/>
      </x:top>
      <x:bottom style="thin">
        <x:color rgb="FF9EADBA"/>
      </x:bottom>
    </x:border>
  </x:borders>
  <x:cellStyleXfs count="1">
    <x:xf numFmtId="0" fontId="0" fillId="0" borderId="0"/>
  </x:cellStyleXfs>
  <x:cellXfs count="1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0" borderId="3" xfId="0" applyNumberFormat="1" applyFont="1" applyFill="1" applyBorder="1"/>
    <x:xf numFmtId="0" fontId="3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0" borderId="9" xfId="0" applyNumberFormat="1" applyFont="1" applyFill="1" applyBorder="1"/>
    <x:xf numFmtId="0" fontId="3" fillId="0" borderId="11" xfId="0" applyNumberFormat="1" applyFont="1" applyFill="1" applyBorder="1"/>
    <x:xf numFmtId="200" fontId="0" fillId="0" borderId="10" xfId="0" applyNumberFormat="1" applyFont="1" applyFill="1" applyBorder="1"/>
    <x:xf numFmtId="201" fontId="0" fillId="0" borderId="10" xfId="0" applyNumberFormat="1" applyFont="1" applyFill="1" applyBorder="1"/>
    <x:xf numFmtId="202" fontId="0" fillId="0" borderId="10" xfId="0" applyNumberFormat="1" applyFont="1" applyFill="1" applyBorder="1"/>
    <x:xf numFmtId="202" fontId="0" fillId="0" borderId="1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0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2" xfId="0" applyNumberFormat="1" applyFont="1" applyFill="1" applyBorder="1"/>
    <x:xf numFmtId="0" fontId="10" fillId="4" borderId="7" xfId="0" applyNumberFormat="1" applyFont="1" applyFill="1" applyBorder="1"/>
    <x:xf numFmtId="0" fontId="10" fillId="4" borderId="8" xfId="0" applyNumberFormat="1" applyFont="1" applyFill="1" applyBorder="1"/>
    <x:xf numFmtId="0" fontId="11" fillId="0" borderId="3" xfId="0" applyNumberFormat="1" applyFont="1" applyFill="1" applyBorder="1"/>
    <x:xf numFmtId="0" fontId="8" fillId="0" borderId="4" xfId="0" applyNumberFormat="1" applyFont="1" applyFill="1" applyBorder="1"/>
    <x:xf numFmtId="0" fontId="11" fillId="0" borderId="9" xfId="0" applyNumberFormat="1" applyFont="1" applyFill="1" applyBorder="1"/>
    <x:xf numFmtId="200" fontId="8" fillId="0" borderId="10" xfId="0" applyNumberFormat="1" applyFont="1" applyFill="1" applyBorder="1"/>
    <x:xf numFmtId="201" fontId="8" fillId="0" borderId="10" xfId="0" applyNumberFormat="1" applyFont="1" applyFill="1" applyBorder="1"/>
    <x:xf numFmtId="202" fontId="8" fillId="0" borderId="10" xfId="0" applyNumberFormat="1" applyFont="1" applyFill="1" applyBorder="1"/>
    <x:xf numFmtId="0" fontId="11" fillId="0" borderId="5" xfId="0" applyNumberFormat="1" applyFont="1" applyFill="1" applyBorder="1"/>
    <x:xf numFmtId="0" fontId="8" fillId="0" borderId="6" xfId="0" applyNumberFormat="1" applyFont="1" applyFill="1" applyBorder="1" applyAlignment="1">
      <x:alignment wrapText="1"/>
    </x:xf>
    <x:xf numFmtId="0" fontId="11" fillId="0" borderId="11" xfId="0" applyNumberFormat="1" applyFont="1" applyFill="1" applyBorder="1"/>
    <x:xf numFmtId="202" fontId="8" fillId="0" borderId="12" xfId="0" applyNumberFormat="1" applyFont="1" applyFill="1" applyBorder="1"/>
    <x:xf numFmtId="0" fontId="12" fillId="5" borderId="0" xfId="0" applyNumberFormat="1" applyFont="1" applyFill="1" applyBorder="1"/>
    <x:xf numFmtId="0" fontId="13" fillId="6" borderId="7" xfId="0" applyNumberFormat="1" applyFont="1" applyFill="1" applyBorder="1" applyAlignment="1">
      <x:alignment vertical="center" wrapText="1"/>
    </x:xf>
    <x:xf numFmtId="0" fontId="13" fillId="6" borderId="13" xfId="0" applyNumberFormat="1" applyFont="1" applyFill="1" applyBorder="1" applyAlignment="1">
      <x:alignment vertical="center" wrapText="1"/>
    </x:xf>
    <x:xf numFmtId="0" fontId="13" fillId="6" borderId="8" xfId="0" applyNumberFormat="1" applyFont="1" applyFill="1" applyBorder="1" applyAlignment="1">
      <x:alignment vertical="center" wrapText="1"/>
    </x:xf>
    <x:xf numFmtId="0" fontId="13" fillId="6" borderId="9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3" fillId="6" borderId="10" xfId="0" applyNumberFormat="1" applyFont="1" applyFill="1" applyBorder="1" applyAlignment="1">
      <x:alignment vertical="center" wrapText="1"/>
    </x:xf>
    <x:xf numFmtId="0" fontId="13" fillId="6" borderId="11" xfId="0" applyNumberFormat="1" applyFont="1" applyFill="1" applyBorder="1" applyAlignment="1">
      <x:alignment vertical="center" wrapText="1"/>
    </x:xf>
    <x:xf numFmtId="0" fontId="13" fillId="6" borderId="14" xfId="0" applyNumberFormat="1" applyFont="1" applyFill="1" applyBorder="1" applyAlignment="1">
      <x:alignment vertical="center" wrapText="1"/>
    </x:xf>
    <x:xf numFmtId="0" fontId="13" fillId="6" borderId="12" xfId="0" applyNumberFormat="1" applyFont="1" applyFill="1" applyBorder="1" applyAlignment="1">
      <x:alignment vertical="center" wrapText="1"/>
    </x:xf>
    <x:xf numFmtId="0" fontId="14" fillId="7" borderId="15" xfId="0" applyNumberFormat="1" applyFont="1" applyFill="1" applyBorder="1"/>
    <x:xf numFmtId="0" fontId="14" fillId="7" borderId="16" xfId="0" applyNumberFormat="1" applyFont="1" applyFill="1" applyBorder="1"/>
    <x:xf numFmtId="0" fontId="14" fillId="7" borderId="17" xfId="0" applyNumberFormat="1" applyFont="1" applyFill="1" applyBorder="1"/>
    <x:xf numFmtId="0" fontId="8" fillId="0" borderId="18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9" xfId="0" applyNumberFormat="1" applyFont="1" applyFill="1" applyBorder="1" applyAlignment="1">
      <x:alignment wrapText="1"/>
    </x:xf>
    <x:xf numFmtId="0" fontId="8" fillId="0" borderId="20" xfId="0" applyNumberFormat="1" applyFont="1" applyFill="1" applyBorder="1"/>
    <x:xf numFmtId="0" fontId="8" fillId="0" borderId="21" xfId="0" applyNumberFormat="1" applyFont="1" applyFill="1" applyBorder="1" applyAlignment="1">
      <x:alignment wrapText="1"/>
    </x:xf>
    <x:xf numFmtId="0" fontId="8" fillId="0" borderId="22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0" fontId="10" fillId="4" borderId="7" xfId="0" applyNumberFormat="1" applyFont="1" applyFill="1" applyBorder="1" applyAlignment="1">
      <x:alignment vertical="center"/>
    </x:xf>
    <x:xf numFmtId="0" fontId="10" fillId="4" borderId="8" xfId="0" applyNumberFormat="1" applyFont="1" applyFill="1" applyBorder="1" applyAlignment="1">
      <x:alignment vertical="center"/>
    </x:xf>
    <x:xf numFmtId="0" fontId="11" fillId="0" borderId="3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11" fillId="0" borderId="9" xfId="0" applyNumberFormat="1" applyFont="1" applyFill="1" applyBorder="1" applyAlignment="1">
      <x:alignment vertical="center"/>
    </x:xf>
    <x:xf numFmtId="200" fontId="8" fillId="0" borderId="10" xfId="0" applyNumberFormat="1" applyFont="1" applyFill="1" applyBorder="1" applyAlignment="1">
      <x:alignment vertical="center"/>
    </x:xf>
    <x:xf numFmtId="201" fontId="8" fillId="0" borderId="10" xfId="0" applyNumberFormat="1" applyFont="1" applyFill="1" applyBorder="1" applyAlignment="1">
      <x:alignment vertical="center"/>
    </x:xf>
    <x:xf numFmtId="202" fontId="8" fillId="0" borderId="10" xfId="0" applyNumberFormat="1" applyFont="1" applyFill="1" applyBorder="1" applyAlignment="1">
      <x:alignment vertical="center"/>
    </x:xf>
    <x:xf numFmtId="0" fontId="11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 wrapText="1"/>
    </x:xf>
    <x:xf numFmtId="0" fontId="11" fillId="0" borderId="11" xfId="0" applyNumberFormat="1" applyFont="1" applyFill="1" applyBorder="1" applyAlignment="1">
      <x:alignment vertical="center"/>
    </x:xf>
    <x:xf numFmtId="202" fontId="8" fillId="0" borderId="12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14" fillId="7" borderId="15" xfId="0" applyNumberFormat="1" applyFont="1" applyFill="1" applyBorder="1" applyAlignment="1">
      <x:alignment vertical="center"/>
    </x:xf>
    <x:xf numFmtId="0" fontId="14" fillId="7" borderId="16" xfId="0" applyNumberFormat="1" applyFont="1" applyFill="1" applyBorder="1" applyAlignment="1">
      <x:alignment vertical="center"/>
    </x:xf>
    <x:xf numFmtId="0" fontId="14" fillId="7" borderId="17" xfId="0" applyNumberFormat="1" applyFont="1" applyFill="1" applyBorder="1" applyAlignment="1">
      <x:alignment vertical="center"/>
    </x:xf>
    <x:xf numFmtId="0" fontId="8" fillId="0" borderId="18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9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vertical="center"/>
    </x:xf>
    <x:xf numFmtId="0" fontId="8" fillId="0" borderId="21" xfId="0" applyNumberFormat="1" applyFont="1" applyFill="1" applyBorder="1" applyAlignment="1">
      <x:alignment vertical="center" wrapText="1"/>
    </x:xf>
    <x:xf numFmtId="0" fontId="8" fillId="0" borderId="22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3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201" fontId="0" fillId="0" borderId="23" xfId="0" applyNumberFormat="1" applyFont="1" applyFill="1" applyBorder="1"/>
    <x:xf numFmtId="201" fontId="0" fillId="0" borderId="24" xfId="0" applyNumberFormat="1" applyFont="1" applyFill="1" applyBorder="1"/>
    <x:xf numFmtId="201" fontId="0" fillId="0" borderId="25" xfId="0" applyNumberFormat="1" applyFont="1" applyFill="1" applyBorder="1"/>
    <x:xf numFmtId="202" fontId="0" fillId="0" borderId="23" xfId="0" applyNumberFormat="1" applyFont="1" applyFill="1" applyBorder="1"/>
    <x:xf numFmtId="202" fontId="0" fillId="0" borderId="24" xfId="0" applyNumberFormat="1" applyFont="1" applyFill="1" applyBorder="1"/>
    <x:xf numFmtId="202" fontId="0" fillId="0" borderId="25" xfId="0" applyNumberFormat="1" applyFont="1" applyFill="1" applyBorder="1"/>
    <x:xf numFmtId="203" fontId="0" fillId="0" borderId="23" xfId="0" applyNumberFormat="1" applyFont="1" applyFill="1" applyBorder="1"/>
    <x:xf numFmtId="203" fontId="0" fillId="0" borderId="24" xfId="0" applyNumberFormat="1" applyFont="1" applyFill="1" applyBorder="1"/>
    <x:xf numFmtId="203" fontId="0" fillId="0" borderId="25" xfId="0" applyNumberFormat="1" applyFont="1" applyFill="1" applyBorder="1"/>
    <x:xf numFmtId="0" fontId="16" fillId="2" borderId="0" xfId="0" applyNumberFormat="1" applyFont="1" applyFill="1" applyBorder="1" applyAlignment="1">
      <x:alignment horizontal="center" vertical="center"/>
    </x:xf>
    <x:xf numFmtId="0" fontId="8" fillId="0" borderId="23" xfId="0" applyNumberFormat="1" applyFont="1" applyFill="1" applyBorder="1" applyAlignment="1">
      <x:alignment horizontal="center"/>
    </x:xf>
    <x:xf numFmtId="201" fontId="8" fillId="0" borderId="23" xfId="0" applyNumberFormat="1" applyFont="1" applyFill="1" applyBorder="1"/>
    <x:xf numFmtId="202" fontId="8" fillId="0" borderId="23" xfId="0" applyNumberFormat="1" applyFont="1" applyFill="1" applyBorder="1"/>
    <x:xf numFmtId="203" fontId="8" fillId="0" borderId="23" xfId="0" applyNumberFormat="1" applyFont="1" applyFill="1" applyBorder="1"/>
    <x:xf numFmtId="0" fontId="8" fillId="0" borderId="24" xfId="0" applyNumberFormat="1" applyFont="1" applyFill="1" applyBorder="1" applyAlignment="1">
      <x:alignment horizontal="center"/>
    </x:xf>
    <x:xf numFmtId="201" fontId="8" fillId="0" borderId="24" xfId="0" applyNumberFormat="1" applyFont="1" applyFill="1" applyBorder="1"/>
    <x:xf numFmtId="202" fontId="8" fillId="0" borderId="24" xfId="0" applyNumberFormat="1" applyFont="1" applyFill="1" applyBorder="1"/>
    <x:xf numFmtId="203" fontId="8" fillId="0" borderId="24" xfId="0" applyNumberFormat="1" applyFont="1" applyFill="1" applyBorder="1"/>
    <x:xf numFmtId="0" fontId="8" fillId="0" borderId="25" xfId="0" applyNumberFormat="1" applyFont="1" applyFill="1" applyBorder="1" applyAlignment="1">
      <x:alignment horizontal="center"/>
    </x:xf>
    <x:xf numFmtId="201" fontId="8" fillId="0" borderId="25" xfId="0" applyNumberFormat="1" applyFont="1" applyFill="1" applyBorder="1"/>
    <x:xf numFmtId="202" fontId="8" fillId="0" borderId="25" xfId="0" applyNumberFormat="1" applyFont="1" applyFill="1" applyBorder="1"/>
    <x:xf numFmtId="203" fontId="8" fillId="0" borderId="25" xfId="0" applyNumberFormat="1" applyFont="1" applyFill="1" applyBorder="1"/>
  </x:cellXfs>
  <x:cellStyles count="1">
    <x:cellStyle name="Normal" xfId="0"/>
  </x:cellStyles>
  <x:dxfs count="2"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274E13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fb5e870aa43de" /><Relationship Type="http://schemas.openxmlformats.org/officeDocument/2006/relationships/theme" Target="/xl/theme/theme1.xml" Id="Rd2233f60495f4f1c" /><Relationship Type="http://schemas.openxmlformats.org/officeDocument/2006/relationships/sharedStrings" Target="/xl/sharedStrings.xml" Id="R9cee3b2fb81a424a" /><Relationship Type="http://schemas.openxmlformats.org/officeDocument/2006/relationships/worksheet" Target="/xl/worksheets/sheet1.xml" Id="R907c1cb8b7e54e29" /><Relationship Type="http://schemas.openxmlformats.org/officeDocument/2006/relationships/worksheet" Target="/xl/worksheets/sheet2.xml" Id="Rf27a9c470cb649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8c55a7764947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各测试点运行用时对比</a:t>
            </a:r>
          </a:p>
        </c:rich>
      </c:tx>
    </c:title>
    <c:plotArea>
      <c:lineChart>
        <c:grouping val="standard"/>
        <c:ser>
          <c:idx val="0"/>
          <c:order val="0"/>
          <c:tx>
            <c:v>本次用时</c:v>
          </c:tx>
          <c:spPr>
            <a:solidFill xmlns:a="http://schemas.openxmlformats.org/drawingml/2006/main">
              <a:srgbClr val="2F75B5"/>
            </a:solidFill>
          </c:spPr>
          <c:marker>
            <c:symbol val="none"/>
          </c:marker>
          <c:cat>
            <c:strRef>
              <c:f>'测试点结果'!$A$2:$A$51</c:f>
              <c:strCache>
                <c:ptCount val="0"/>
              </c:strCache>
            </c:strRef>
          </c:cat>
          <c:val>
            <c:numRef>
              <c:f>'测试点结果'!$D$2:$D$51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最优用时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'测试点结果'!$A$2:$A$51</c:f>
              <c:strCache>
                <c:ptCount val="0"/>
              </c:strCache>
            </c:strRef>
          </c:cat>
          <c:val>
            <c:numRef>
              <c:f>'测试点结果'!$E$2:$E$51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8c55a7764947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NJudgeResults" displayName="CANNJudgeResults" ref="A1:F51" headerRowCount="1" totalsRowCount="0" totalsRowShown="0">
  <x:tableColumns count="6">
    <x:tableColumn id="1" name="测试点"/>
    <x:tableColumn id="2" name="结果"/>
    <x:tableColumn id="3" name="输出错误占比"/>
    <x:tableColumn id="4" name="用时（μs）"/>
    <x:tableColumn id="5" name="最优用时（μs）"/>
    <x:tableColumn id="6" name="用时/最优用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5204c198d4c4556" /><Relationship Type="http://schemas.openxmlformats.org/officeDocument/2006/relationships/table" Target="/xl/tables/table1.xml" Id="R1d70360f427949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3" hidden="0" customWidth="1"/>
    <x:col min="4" max="4" width="28" hidden="0" customWidth="1"/>
    <x:col min="5" max="5" width="20" hidden="0" customWidth="1"/>
    <x:col min="6" max="6" width="3" hidden="0" customWidth="1"/>
  </x:cols>
  <x:sheetData>
    <x:row r="1" ht="30" customHeight="1">
      <x:c r="A1" s="4" t="str">
        <x:v>SoftshrinkGrad CANNJudge 验收报告</x:v>
      </x:c>
      <x:c r="B1" s="4"/>
      <x:c r="C1" s="4"/>
      <x:c r="D1" s="4"/>
      <x:c r="E1" s="4"/>
      <x:c r="F1" s="4"/>
    </x:row>
    <x:row r="2" ht="30" customHeight="1">
      <x:c r="A2" s="4"/>
      <x:c r="B2" s="4"/>
      <x:c r="C2" s="4"/>
      <x:c r="D2" s="4"/>
      <x:c r="E2" s="4"/>
      <x:c r="F2" s="4"/>
    </x:row>
    <x:row r="3">
      <x:c r="A3" s="93"/>
      <x:c r="B3" s="93"/>
      <x:c r="C3" s="93"/>
      <x:c r="D3" s="93"/>
      <x:c r="E3" s="93"/>
      <x:c r="F3" s="93"/>
    </x:row>
    <x:row r="4">
      <x:c r="A4" s="94" t="str">
        <x:v>项目</x:v>
      </x:c>
      <x:c r="B4" s="95" t="str">
        <x:v>内容</x:v>
      </x:c>
      <x:c r="C4" s="93"/>
      <x:c r="D4" s="96" t="str">
        <x:v>验收指标</x:v>
      </x:c>
      <x:c r="E4" s="97" t="str">
        <x:v>结果</x:v>
      </x:c>
      <x:c r="F4" s="93"/>
    </x:row>
    <x:row r="5">
      <x:c r="A5" s="98" t="str">
        <x:v>算子名称</x:v>
      </x:c>
      <x:c r="B5" s="99" t="str">
        <x:v>SoftshrinkGrad</x:v>
      </x:c>
      <x:c r="C5" s="93"/>
      <x:c r="D5" s="100" t="str">
        <x:v>测试点总数</x:v>
      </x:c>
      <x:c r="E5" s="101" t="n">
        <x:f>COUNTA('测试点结果'!$A$2:$A$51)</x:f>
        <x:v>50</x:v>
      </x:c>
      <x:c r="F5" s="93"/>
    </x:row>
    <x:row r="6">
      <x:c r="A6" s="98" t="str">
        <x:v>提交 ID</x:v>
      </x:c>
      <x:c r="B6" s="99" t="str">
        <x:v>104235</x:v>
      </x:c>
      <x:c r="C6" s="93"/>
      <x:c r="D6" s="100" t="str">
        <x:v>通过测试点</x:v>
      </x:c>
      <x:c r="E6" s="101" t="n">
        <x:f>COUNTIF('测试点结果'!$B$2:$B$51,"Pass")</x:f>
        <x:v>50</x:v>
      </x:c>
      <x:c r="F6" s="93"/>
    </x:row>
    <x:row r="7">
      <x:c r="A7" s="98" t="str">
        <x:v>提交人</x:v>
      </x:c>
      <x:c r="B7" s="99" t="str">
        <x:v>17354011239</x:v>
      </x:c>
      <x:c r="C7" s="93"/>
      <x:c r="D7" s="100" t="str">
        <x:v>通过率</x:v>
      </x:c>
      <x:c r="E7" s="102" t="n">
        <x:f>E6/E5</x:f>
        <x:v>1</x:v>
      </x:c>
      <x:c r="F7" s="93"/>
    </x:row>
    <x:row r="8">
      <x:c r="A8" s="98" t="str">
        <x:v>提交时间</x:v>
      </x:c>
      <x:c r="B8" s="99" t="str">
        <x:v>2026-07-22 14:49:06</x:v>
      </x:c>
      <x:c r="C8" s="93"/>
      <x:c r="D8" s="100" t="str">
        <x:v>最大输出错误占比</x:v>
      </x:c>
      <x:c r="E8" s="102" t="n">
        <x:f>MAX('测试点结果'!$C$2:$C$51)</x:f>
        <x:v>0</x:v>
      </x:c>
      <x:c r="F8" s="93"/>
    </x:row>
    <x:row r="9">
      <x:c r="A9" s="98" t="str">
        <x:v>提交状态</x:v>
      </x:c>
      <x:c r="B9" s="99" t="str">
        <x:v>Pass</x:v>
      </x:c>
      <x:c r="C9" s="93"/>
      <x:c r="D9" s="100" t="str">
        <x:v>平均运行用时（μs）</x:v>
      </x:c>
      <x:c r="E9" s="103" t="n">
        <x:f>AVERAGE('测试点结果'!$D$2:$D$51)</x:f>
        <x:v>28.508000000000003</x:v>
      </x:c>
      <x:c r="F9" s="93"/>
    </x:row>
    <x:row r="10" ht="34" customHeight="1">
      <x:c r="A10" s="104" t="str">
        <x:v>结果页面</x:v>
      </x:c>
      <x:c r="B10" s="105" t="str">
        <x:v>https://cannjudge.cn/cann_2026_xjd/xjd_2026_0613/softshrinkgrad/submission/6a6067e21336c465ba5ea816</x:v>
      </x:c>
      <x:c r="C10" s="93"/>
      <x:c r="D10" s="100" t="str">
        <x:v>最短运行用时（μs）</x:v>
      </x:c>
      <x:c r="E10" s="103" t="n">
        <x:f>MIN('测试点结果'!$D$2:$D$51)</x:f>
        <x:v>3.74</x:v>
      </x:c>
      <x:c r="F10" s="93"/>
    </x:row>
    <x:row r="11">
      <x:c r="A11" s="93"/>
      <x:c r="B11" s="93"/>
      <x:c r="C11" s="93"/>
      <x:c r="D11" s="106" t="str">
        <x:v>最长运行用时（μs）</x:v>
      </x:c>
      <x:c r="E11" s="107" t="n">
        <x:f>MAX('测试点结果'!$D$2:$D$51)</x:f>
        <x:v>614</x:v>
      </x:c>
      <x:c r="F11" s="93"/>
    </x:row>
    <x:row r="12">
      <x:c r="A12" s="93"/>
      <x:c r="B12" s="93"/>
      <x:c r="C12" s="93"/>
      <x:c r="D12" s="93"/>
      <x:c r="E12" s="93"/>
      <x:c r="F12" s="93"/>
    </x:row>
    <x:row r="13">
      <x:c r="A13" s="108" t="str">
        <x:v>验收结论</x:v>
      </x:c>
      <x:c r="B13" s="108"/>
      <x:c r="C13" s="108"/>
      <x:c r="D13" s="108"/>
      <x:c r="E13" s="108"/>
      <x:c r="F13" s="108"/>
    </x:row>
    <x:row r="14">
      <x:c r="A14" s="75" t="str">
        <x:v>CANNJudge 提交 104235 状态为 Pass，50/50 测试点全部通过，各测试点输出错误占比均为 0.00%。算子满足本次平台精度验收要求。</x:v>
      </x:c>
      <x:c r="B14" s="76"/>
      <x:c r="C14" s="76"/>
      <x:c r="D14" s="76"/>
      <x:c r="E14" s="76"/>
      <x:c r="F14" s="77"/>
    </x:row>
    <x:row r="15">
      <x:c r="A15" s="78"/>
      <x:c r="B15" s="79"/>
      <x:c r="C15" s="79"/>
      <x:c r="D15" s="79"/>
      <x:c r="E15" s="79"/>
      <x:c r="F15" s="80"/>
    </x:row>
    <x:row r="16">
      <x:c r="A16" s="81"/>
      <x:c r="B16" s="82"/>
      <x:c r="C16" s="82"/>
      <x:c r="D16" s="82"/>
      <x:c r="E16" s="82"/>
      <x:c r="F16" s="83"/>
    </x:row>
    <x:row r="17">
      <x:c r="A17" s="93"/>
      <x:c r="B17" s="93"/>
      <x:c r="C17" s="93"/>
      <x:c r="D17" s="93"/>
      <x:c r="E17" s="93"/>
      <x:c r="F17" s="93"/>
    </x:row>
    <x:row r="18">
      <x:c r="A18" s="109" t="str">
        <x:v>关联材料</x:v>
      </x:c>
      <x:c r="B18" s="110" t="str">
        <x:v>地址</x:v>
      </x:c>
      <x:c r="C18" s="110"/>
      <x:c r="D18" s="110"/>
      <x:c r="E18" s="110"/>
      <x:c r="F18" s="111"/>
    </x:row>
    <x:row r="19">
      <x:c r="A19" s="112" t="str">
        <x:v>算子代码 PR</x:v>
      </x:c>
      <x:c r="B19" s="113" t="str">
        <x:v>https://gitcode.com/cann/ops-nn/pull/7824</x:v>
      </x:c>
      <x:c r="C19" s="113"/>
      <x:c r="D19" s="113"/>
      <x:c r="E19" s="113"/>
      <x:c r="F19" s="114"/>
    </x:row>
    <x:row r="20">
      <x:c r="A20" s="112" t="str">
        <x:v>需求 Issue</x:v>
      </x:c>
      <x:c r="B20" s="113" t="str">
        <x:v>https://gitcode.com/cann/ops-nn/issues/4258</x:v>
      </x:c>
      <x:c r="C20" s="113"/>
      <x:c r="D20" s="113"/>
      <x:c r="E20" s="113"/>
      <x:c r="F20" s="114"/>
    </x:row>
    <x:row r="21">
      <x:c r="A21" s="115" t="str">
        <x:v>课程材料目录</x:v>
      </x:c>
      <x:c r="B21" s="116" t="str">
        <x:v>2026/CANN-Summer-Camps/Xian-Jiaotong-University/2401_89252417/SoftshrinkGrad</x:v>
      </x:c>
      <x:c r="C21" s="116"/>
      <x:c r="D21" s="116"/>
      <x:c r="E21" s="116"/>
      <x:c r="F21" s="117"/>
    </x:row>
  </x:sheetData>
  <x:mergeCells>
    <x:mergeCell ref="A1:F2"/>
    <x:mergeCell ref="A13:F13"/>
    <x:mergeCell ref="A14:F16"/>
    <x:mergeCell ref="B18:F18"/>
    <x:mergeCell ref="B19:F19"/>
    <x:mergeCell ref="B20:F20"/>
    <x:mergeCell ref="B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36" t="str">
        <x:v>测试点</x:v>
      </x:c>
      <x:c r="B1" s="136" t="str">
        <x:v>结果</x:v>
      </x:c>
      <x:c r="C1" s="136" t="str">
        <x:v>输出错误占比</x:v>
      </x:c>
      <x:c r="D1" s="136" t="str">
        <x:v>用时（μs）</x:v>
      </x:c>
      <x:c r="E1" s="136" t="str">
        <x:v>最优用时（μs）</x:v>
      </x:c>
      <x:c r="F1" s="136" t="str">
        <x:v>用时/最优用时</x:v>
      </x:c>
    </x:row>
    <x:row r="2">
      <x:c r="A2" s="137" t="n">
        <x:v>1</x:v>
      </x:c>
      <x:c r="B2" s="137" t="str">
        <x:v>Pass</x:v>
      </x:c>
      <x:c r="C2" s="138" t="n">
        <x:v>0</x:v>
      </x:c>
      <x:c r="D2" s="139" t="n">
        <x:v>3.74</x:v>
      </x:c>
      <x:c r="E2" s="139" t="n">
        <x:v>3.74</x:v>
      </x:c>
      <x:c r="F2" s="140" t="n">
        <x:f>D2/E2</x:f>
        <x:v>1</x:v>
      </x:c>
    </x:row>
    <x:row r="3">
      <x:c r="A3" s="141" t="n">
        <x:v>2</x:v>
      </x:c>
      <x:c r="B3" s="141" t="str">
        <x:v>Pass</x:v>
      </x:c>
      <x:c r="C3" s="142" t="n">
        <x:v>0</x:v>
      </x:c>
      <x:c r="D3" s="143" t="n">
        <x:v>3.91</x:v>
      </x:c>
      <x:c r="E3" s="143" t="n">
        <x:v>3.57</x:v>
      </x:c>
      <x:c r="F3" s="144" t="n">
        <x:f>D3/E3</x:f>
        <x:v>1.0952380952380953</x:v>
      </x:c>
    </x:row>
    <x:row r="4">
      <x:c r="A4" s="141" t="n">
        <x:v>3</x:v>
      </x:c>
      <x:c r="B4" s="141" t="str">
        <x:v>Pass</x:v>
      </x:c>
      <x:c r="C4" s="142" t="n">
        <x:v>0</x:v>
      </x:c>
      <x:c r="D4" s="143" t="n">
        <x:v>3.9</x:v>
      </x:c>
      <x:c r="E4" s="143" t="n">
        <x:v>3.83</x:v>
      </x:c>
      <x:c r="F4" s="144" t="n">
        <x:f>D4/E4</x:f>
        <x:v>1.0182767624020888</x:v>
      </x:c>
    </x:row>
    <x:row r="5">
      <x:c r="A5" s="141" t="n">
        <x:v>4</x:v>
      </x:c>
      <x:c r="B5" s="141" t="str">
        <x:v>Pass</x:v>
      </x:c>
      <x:c r="C5" s="142" t="n">
        <x:v>0</x:v>
      </x:c>
      <x:c r="D5" s="143" t="n">
        <x:v>4.27</x:v>
      </x:c>
      <x:c r="E5" s="143" t="n">
        <x:v>2.73</x:v>
      </x:c>
      <x:c r="F5" s="144" t="n">
        <x:f>D5/E5</x:f>
        <x:v>1.5641025641025639</x:v>
      </x:c>
    </x:row>
    <x:row r="6">
      <x:c r="A6" s="141" t="n">
        <x:v>5</x:v>
      </x:c>
      <x:c r="B6" s="141" t="str">
        <x:v>Pass</x:v>
      </x:c>
      <x:c r="C6" s="142" t="n">
        <x:v>0</x:v>
      </x:c>
      <x:c r="D6" s="143" t="n">
        <x:v>4.32</x:v>
      </x:c>
      <x:c r="E6" s="143" t="n">
        <x:v>2.93</x:v>
      </x:c>
      <x:c r="F6" s="144" t="n">
        <x:f>D6/E6</x:f>
        <x:v>1.4744027303754266</x:v>
      </x:c>
    </x:row>
    <x:row r="7">
      <x:c r="A7" s="141" t="n">
        <x:v>6</x:v>
      </x:c>
      <x:c r="B7" s="141" t="str">
        <x:v>Pass</x:v>
      </x:c>
      <x:c r="C7" s="142" t="n">
        <x:v>0</x:v>
      </x:c>
      <x:c r="D7" s="143" t="n">
        <x:v>4.25</x:v>
      </x:c>
      <x:c r="E7" s="143" t="n">
        <x:v>2.72</x:v>
      </x:c>
      <x:c r="F7" s="144" t="n">
        <x:f>D7/E7</x:f>
        <x:v>1.5624999999999998</x:v>
      </x:c>
    </x:row>
    <x:row r="8">
      <x:c r="A8" s="141" t="n">
        <x:v>7</x:v>
      </x:c>
      <x:c r="B8" s="141" t="str">
        <x:v>Pass</x:v>
      </x:c>
      <x:c r="C8" s="142" t="n">
        <x:v>0</x:v>
      </x:c>
      <x:c r="D8" s="143" t="n">
        <x:v>5.28</x:v>
      </x:c>
      <x:c r="E8" s="143" t="n">
        <x:v>5.01</x:v>
      </x:c>
      <x:c r="F8" s="144" t="n">
        <x:f>D8/E8</x:f>
        <x:v>1.0538922155688624</x:v>
      </x:c>
    </x:row>
    <x:row r="9">
      <x:c r="A9" s="141" t="n">
        <x:v>8</x:v>
      </x:c>
      <x:c r="B9" s="141" t="str">
        <x:v>Pass</x:v>
      </x:c>
      <x:c r="C9" s="142" t="n">
        <x:v>0</x:v>
      </x:c>
      <x:c r="D9" s="143" t="n">
        <x:v>5.35</x:v>
      </x:c>
      <x:c r="E9" s="143" t="n">
        <x:v>4.74</x:v>
      </x:c>
      <x:c r="F9" s="144" t="n">
        <x:f>D9/E9</x:f>
        <x:v>1.1286919831223627</x:v>
      </x:c>
    </x:row>
    <x:row r="10">
      <x:c r="A10" s="141" t="n">
        <x:v>9</x:v>
      </x:c>
      <x:c r="B10" s="141" t="str">
        <x:v>Pass</x:v>
      </x:c>
      <x:c r="C10" s="142" t="n">
        <x:v>0</x:v>
      </x:c>
      <x:c r="D10" s="143" t="n">
        <x:v>5.34</x:v>
      </x:c>
      <x:c r="E10" s="143" t="n">
        <x:v>4.92</x:v>
      </x:c>
      <x:c r="F10" s="144" t="n">
        <x:f>D10/E10</x:f>
        <x:v>1.0853658536585367</x:v>
      </x:c>
    </x:row>
    <x:row r="11">
      <x:c r="A11" s="141" t="n">
        <x:v>10</x:v>
      </x:c>
      <x:c r="B11" s="141" t="str">
        <x:v>Pass</x:v>
      </x:c>
      <x:c r="C11" s="142" t="n">
        <x:v>0</x:v>
      </x:c>
      <x:c r="D11" s="143" t="n">
        <x:v>5.36</x:v>
      </x:c>
      <x:c r="E11" s="143" t="n">
        <x:v>4.65</x:v>
      </x:c>
      <x:c r="F11" s="144" t="n">
        <x:f>D11/E11</x:f>
        <x:v>1.1526881720430107</x:v>
      </x:c>
    </x:row>
    <x:row r="12">
      <x:c r="A12" s="141" t="n">
        <x:v>11</x:v>
      </x:c>
      <x:c r="B12" s="141" t="str">
        <x:v>Pass</x:v>
      </x:c>
      <x:c r="C12" s="142" t="n">
        <x:v>0</x:v>
      </x:c>
      <x:c r="D12" s="143" t="n">
        <x:v>5.28</x:v>
      </x:c>
      <x:c r="E12" s="143" t="n">
        <x:v>4.8</x:v>
      </x:c>
      <x:c r="F12" s="144" t="n">
        <x:f>D12/E12</x:f>
        <x:v>1.1</x:v>
      </x:c>
    </x:row>
    <x:row r="13">
      <x:c r="A13" s="141" t="n">
        <x:v>12</x:v>
      </x:c>
      <x:c r="B13" s="141" t="str">
        <x:v>Pass</x:v>
      </x:c>
      <x:c r="C13" s="142" t="n">
        <x:v>0</x:v>
      </x:c>
      <x:c r="D13" s="143" t="n">
        <x:v>5.35</x:v>
      </x:c>
      <x:c r="E13" s="143" t="n">
        <x:v>5.1</x:v>
      </x:c>
      <x:c r="F13" s="144" t="n">
        <x:f>D13/E13</x:f>
        <x:v>1.0490196078431373</x:v>
      </x:c>
    </x:row>
    <x:row r="14">
      <x:c r="A14" s="141" t="n">
        <x:v>13</x:v>
      </x:c>
      <x:c r="B14" s="141" t="str">
        <x:v>Pass</x:v>
      </x:c>
      <x:c r="C14" s="142" t="n">
        <x:v>0</x:v>
      </x:c>
      <x:c r="D14" s="143" t="n">
        <x:v>5.22</x:v>
      </x:c>
      <x:c r="E14" s="143" t="n">
        <x:v>5.07</x:v>
      </x:c>
      <x:c r="F14" s="144" t="n">
        <x:f>D14/E14</x:f>
        <x:v>1.029585798816568</x:v>
      </x:c>
    </x:row>
    <x:row r="15">
      <x:c r="A15" s="141" t="n">
        <x:v>14</x:v>
      </x:c>
      <x:c r="B15" s="141" t="str">
        <x:v>Pass</x:v>
      </x:c>
      <x:c r="C15" s="142" t="n">
        <x:v>0</x:v>
      </x:c>
      <x:c r="D15" s="143" t="n">
        <x:v>5.31</x:v>
      </x:c>
      <x:c r="E15" s="143" t="n">
        <x:v>5.08</x:v>
      </x:c>
      <x:c r="F15" s="144" t="n">
        <x:f>D15/E15</x:f>
        <x:v>1.045275590551181</x:v>
      </x:c>
    </x:row>
    <x:row r="16">
      <x:c r="A16" s="141" t="n">
        <x:v>15</x:v>
      </x:c>
      <x:c r="B16" s="141" t="str">
        <x:v>Pass</x:v>
      </x:c>
      <x:c r="C16" s="142" t="n">
        <x:v>0</x:v>
      </x:c>
      <x:c r="D16" s="143" t="n">
        <x:v>5.34</x:v>
      </x:c>
      <x:c r="E16" s="143" t="n">
        <x:v>5.15</x:v>
      </x:c>
      <x:c r="F16" s="144" t="n">
        <x:f>D16/E16</x:f>
        <x:v>1.036893203883495</x:v>
      </x:c>
    </x:row>
    <x:row r="17">
      <x:c r="A17" s="141" t="n">
        <x:v>16</x:v>
      </x:c>
      <x:c r="B17" s="141" t="str">
        <x:v>Pass</x:v>
      </x:c>
      <x:c r="C17" s="142" t="n">
        <x:v>0</x:v>
      </x:c>
      <x:c r="D17" s="143" t="n">
        <x:v>5.36</x:v>
      </x:c>
      <x:c r="E17" s="143" t="n">
        <x:v>5.16</x:v>
      </x:c>
      <x:c r="F17" s="144" t="n">
        <x:f>D17/E17</x:f>
        <x:v>1.0387596899224807</x:v>
      </x:c>
    </x:row>
    <x:row r="18">
      <x:c r="A18" s="141" t="n">
        <x:v>17</x:v>
      </x:c>
      <x:c r="B18" s="141" t="str">
        <x:v>Pass</x:v>
      </x:c>
      <x:c r="C18" s="142" t="n">
        <x:v>0</x:v>
      </x:c>
      <x:c r="D18" s="143" t="n">
        <x:v>5.34</x:v>
      </x:c>
      <x:c r="E18" s="143" t="n">
        <x:v>5.14</x:v>
      </x:c>
      <x:c r="F18" s="144" t="n">
        <x:f>D18/E18</x:f>
        <x:v>1.038910505836576</x:v>
      </x:c>
    </x:row>
    <x:row r="19">
      <x:c r="A19" s="141" t="n">
        <x:v>18</x:v>
      </x:c>
      <x:c r="B19" s="141" t="str">
        <x:v>Pass</x:v>
      </x:c>
      <x:c r="C19" s="142" t="n">
        <x:v>0</x:v>
      </x:c>
      <x:c r="D19" s="143" t="n">
        <x:v>5.32</x:v>
      </x:c>
      <x:c r="E19" s="143" t="n">
        <x:v>5.22</x:v>
      </x:c>
      <x:c r="F19" s="144" t="n">
        <x:f>D19/E19</x:f>
        <x:v>1.0191570881226055</x:v>
      </x:c>
    </x:row>
    <x:row r="20">
      <x:c r="A20" s="141" t="n">
        <x:v>19</x:v>
      </x:c>
      <x:c r="B20" s="141" t="str">
        <x:v>Pass</x:v>
      </x:c>
      <x:c r="C20" s="142" t="n">
        <x:v>0</x:v>
      </x:c>
      <x:c r="D20" s="143" t="n">
        <x:v>5.31</x:v>
      </x:c>
      <x:c r="E20" s="143" t="n">
        <x:v>5.23</x:v>
      </x:c>
      <x:c r="F20" s="144" t="n">
        <x:f>D20/E20</x:f>
        <x:v>1.0152963671128106</x:v>
      </x:c>
    </x:row>
    <x:row r="21">
      <x:c r="A21" s="141" t="n">
        <x:v>20</x:v>
      </x:c>
      <x:c r="B21" s="141" t="str">
        <x:v>Pass</x:v>
      </x:c>
      <x:c r="C21" s="142" t="n">
        <x:v>0</x:v>
      </x:c>
      <x:c r="D21" s="143" t="n">
        <x:v>5.34</x:v>
      </x:c>
      <x:c r="E21" s="143" t="n">
        <x:v>5.23</x:v>
      </x:c>
      <x:c r="F21" s="144" t="n">
        <x:f>D21/E21</x:f>
        <x:v>1.0210325047801145</x:v>
      </x:c>
    </x:row>
    <x:row r="22">
      <x:c r="A22" s="141" t="n">
        <x:v>21</x:v>
      </x:c>
      <x:c r="B22" s="141" t="str">
        <x:v>Pass</x:v>
      </x:c>
      <x:c r="C22" s="142" t="n">
        <x:v>0</x:v>
      </x:c>
      <x:c r="D22" s="143" t="n">
        <x:v>5.35</x:v>
      </x:c>
      <x:c r="E22" s="143" t="n">
        <x:v>3.8</x:v>
      </x:c>
      <x:c r="F22" s="144" t="n">
        <x:f>D22/E22</x:f>
        <x:v>1.4078947368421053</x:v>
      </x:c>
    </x:row>
    <x:row r="23">
      <x:c r="A23" s="141" t="n">
        <x:v>22</x:v>
      </x:c>
      <x:c r="B23" s="141" t="str">
        <x:v>Pass</x:v>
      </x:c>
      <x:c r="C23" s="142" t="n">
        <x:v>0</x:v>
      </x:c>
      <x:c r="D23" s="143" t="n">
        <x:v>5.35</x:v>
      </x:c>
      <x:c r="E23" s="143" t="n">
        <x:v>3.75</x:v>
      </x:c>
      <x:c r="F23" s="144" t="n">
        <x:f>D23/E23</x:f>
        <x:v>1.4266666666666665</x:v>
      </x:c>
    </x:row>
    <x:row r="24">
      <x:c r="A24" s="141" t="n">
        <x:v>23</x:v>
      </x:c>
      <x:c r="B24" s="141" t="str">
        <x:v>Pass</x:v>
      </x:c>
      <x:c r="C24" s="142" t="n">
        <x:v>0</x:v>
      </x:c>
      <x:c r="D24" s="143" t="n">
        <x:v>5.28</x:v>
      </x:c>
      <x:c r="E24" s="143" t="n">
        <x:v>3.96</x:v>
      </x:c>
      <x:c r="F24" s="144" t="n">
        <x:f>D24/E24</x:f>
        <x:v>1.3333333333333335</x:v>
      </x:c>
    </x:row>
    <x:row r="25">
      <x:c r="A25" s="141" t="n">
        <x:v>24</x:v>
      </x:c>
      <x:c r="B25" s="141" t="str">
        <x:v>Pass</x:v>
      </x:c>
      <x:c r="C25" s="142" t="n">
        <x:v>0</x:v>
      </x:c>
      <x:c r="D25" s="143" t="n">
        <x:v>5.37</x:v>
      </x:c>
      <x:c r="E25" s="143" t="n">
        <x:v>3.85</x:v>
      </x:c>
      <x:c r="F25" s="144" t="n">
        <x:f>D25/E25</x:f>
        <x:v>1.3948051948051947</x:v>
      </x:c>
    </x:row>
    <x:row r="26">
      <x:c r="A26" s="141" t="n">
        <x:v>25</x:v>
      </x:c>
      <x:c r="B26" s="141" t="str">
        <x:v>Pass</x:v>
      </x:c>
      <x:c r="C26" s="142" t="n">
        <x:v>0</x:v>
      </x:c>
      <x:c r="D26" s="143" t="n">
        <x:v>5.25</x:v>
      </x:c>
      <x:c r="E26" s="143" t="n">
        <x:v>5.08</x:v>
      </x:c>
      <x:c r="F26" s="144" t="n">
        <x:f>D26/E26</x:f>
        <x:v>1.0334645669291338</x:v>
      </x:c>
    </x:row>
    <x:row r="27">
      <x:c r="A27" s="141" t="n">
        <x:v>26</x:v>
      </x:c>
      <x:c r="B27" s="141" t="str">
        <x:v>Pass</x:v>
      </x:c>
      <x:c r="C27" s="142" t="n">
        <x:v>0</x:v>
      </x:c>
      <x:c r="D27" s="143" t="n">
        <x:v>5.38</x:v>
      </x:c>
      <x:c r="E27" s="143" t="n">
        <x:v>5.09</x:v>
      </x:c>
      <x:c r="F27" s="144" t="n">
        <x:f>D27/E27</x:f>
        <x:v>1.0569744597249509</x:v>
      </x:c>
    </x:row>
    <x:row r="28">
      <x:c r="A28" s="141" t="n">
        <x:v>27</x:v>
      </x:c>
      <x:c r="B28" s="141" t="str">
        <x:v>Pass</x:v>
      </x:c>
      <x:c r="C28" s="142" t="n">
        <x:v>0</x:v>
      </x:c>
      <x:c r="D28" s="143" t="n">
        <x:v>5.34</x:v>
      </x:c>
      <x:c r="E28" s="143" t="n">
        <x:v>5.1</x:v>
      </x:c>
      <x:c r="F28" s="144" t="n">
        <x:f>D28/E28</x:f>
        <x:v>1.0470588235294118</x:v>
      </x:c>
    </x:row>
    <x:row r="29">
      <x:c r="A29" s="141" t="n">
        <x:v>28</x:v>
      </x:c>
      <x:c r="B29" s="141" t="str">
        <x:v>Pass</x:v>
      </x:c>
      <x:c r="C29" s="142" t="n">
        <x:v>0</x:v>
      </x:c>
      <x:c r="D29" s="143" t="n">
        <x:v>5.33</x:v>
      </x:c>
      <x:c r="E29" s="143" t="n">
        <x:v>5.1</x:v>
      </x:c>
      <x:c r="F29" s="144" t="n">
        <x:f>D29/E29</x:f>
        <x:v>1.0450980392156863</x:v>
      </x:c>
    </x:row>
    <x:row r="30">
      <x:c r="A30" s="141" t="n">
        <x:v>29</x:v>
      </x:c>
      <x:c r="B30" s="141" t="str">
        <x:v>Pass</x:v>
      </x:c>
      <x:c r="C30" s="142" t="n">
        <x:v>0</x:v>
      </x:c>
      <x:c r="D30" s="143" t="n">
        <x:v>5.26</x:v>
      </x:c>
      <x:c r="E30" s="143" t="n">
        <x:v>5.09</x:v>
      </x:c>
      <x:c r="F30" s="144" t="n">
        <x:f>D30/E30</x:f>
        <x:v>1.0333988212180747</x:v>
      </x:c>
    </x:row>
    <x:row r="31">
      <x:c r="A31" s="141" t="n">
        <x:v>30</x:v>
      </x:c>
      <x:c r="B31" s="141" t="str">
        <x:v>Pass</x:v>
      </x:c>
      <x:c r="C31" s="142" t="n">
        <x:v>0</x:v>
      </x:c>
      <x:c r="D31" s="143" t="n">
        <x:v>5.28</x:v>
      </x:c>
      <x:c r="E31" s="143" t="n">
        <x:v>5.21</x:v>
      </x:c>
      <x:c r="F31" s="144" t="n">
        <x:f>D31/E31</x:f>
        <x:v>1.013435700575816</x:v>
      </x:c>
    </x:row>
    <x:row r="32">
      <x:c r="A32" s="141" t="n">
        <x:v>31</x:v>
      </x:c>
      <x:c r="B32" s="141" t="str">
        <x:v>Pass</x:v>
      </x:c>
      <x:c r="C32" s="142" t="n">
        <x:v>0</x:v>
      </x:c>
      <x:c r="D32" s="143" t="n">
        <x:v>5.32</x:v>
      </x:c>
      <x:c r="E32" s="143" t="n">
        <x:v>5.12</x:v>
      </x:c>
      <x:c r="F32" s="144" t="n">
        <x:f>D32/E32</x:f>
        <x:v>1.0390625</x:v>
      </x:c>
    </x:row>
    <x:row r="33">
      <x:c r="A33" s="141" t="n">
        <x:v>32</x:v>
      </x:c>
      <x:c r="B33" s="141" t="str">
        <x:v>Pass</x:v>
      </x:c>
      <x:c r="C33" s="142" t="n">
        <x:v>0</x:v>
      </x:c>
      <x:c r="D33" s="143" t="n">
        <x:v>5.33</x:v>
      </x:c>
      <x:c r="E33" s="143" t="n">
        <x:v>4.8</x:v>
      </x:c>
      <x:c r="F33" s="144" t="n">
        <x:f>D33/E33</x:f>
        <x:v>1.1104166666666668</x:v>
      </x:c>
    </x:row>
    <x:row r="34">
      <x:c r="A34" s="141" t="n">
        <x:v>33</x:v>
      </x:c>
      <x:c r="B34" s="141" t="str">
        <x:v>Pass</x:v>
      </x:c>
      <x:c r="C34" s="142" t="n">
        <x:v>0</x:v>
      </x:c>
      <x:c r="D34" s="143" t="n">
        <x:v>5.38</x:v>
      </x:c>
      <x:c r="E34" s="143" t="n">
        <x:v>4.77</x:v>
      </x:c>
      <x:c r="F34" s="144" t="n">
        <x:f>D34/E34</x:f>
        <x:v>1.127882599580713</x:v>
      </x:c>
    </x:row>
    <x:row r="35">
      <x:c r="A35" s="141" t="n">
        <x:v>34</x:v>
      </x:c>
      <x:c r="B35" s="141" t="str">
        <x:v>Pass</x:v>
      </x:c>
      <x:c r="C35" s="142" t="n">
        <x:v>0</x:v>
      </x:c>
      <x:c r="D35" s="143" t="n">
        <x:v>5.26</x:v>
      </x:c>
      <x:c r="E35" s="143" t="n">
        <x:v>5.06</x:v>
      </x:c>
      <x:c r="F35" s="144" t="n">
        <x:f>D35/E35</x:f>
        <x:v>1.0395256916996047</x:v>
      </x:c>
    </x:row>
    <x:row r="36">
      <x:c r="A36" s="141" t="n">
        <x:v>35</x:v>
      </x:c>
      <x:c r="B36" s="141" t="str">
        <x:v>Pass</x:v>
      </x:c>
      <x:c r="C36" s="142" t="n">
        <x:v>0</x:v>
      </x:c>
      <x:c r="D36" s="143" t="n">
        <x:v>5.4</x:v>
      </x:c>
      <x:c r="E36" s="143" t="n">
        <x:v>5.25</x:v>
      </x:c>
      <x:c r="F36" s="144" t="n">
        <x:f>D36/E36</x:f>
        <x:v>1.0285714285714287</x:v>
      </x:c>
    </x:row>
    <x:row r="37">
      <x:c r="A37" s="141" t="n">
        <x:v>36</x:v>
      </x:c>
      <x:c r="B37" s="141" t="str">
        <x:v>Pass</x:v>
      </x:c>
      <x:c r="C37" s="142" t="n">
        <x:v>0</x:v>
      </x:c>
      <x:c r="D37" s="143" t="n">
        <x:v>5.31</x:v>
      </x:c>
      <x:c r="E37" s="143" t="n">
        <x:v>5.24</x:v>
      </x:c>
      <x:c r="F37" s="144" t="n">
        <x:f>D37/E37</x:f>
        <x:v>1.0133587786259541</x:v>
      </x:c>
    </x:row>
    <x:row r="38">
      <x:c r="A38" s="141" t="n">
        <x:v>37</x:v>
      </x:c>
      <x:c r="B38" s="141" t="str">
        <x:v>Pass</x:v>
      </x:c>
      <x:c r="C38" s="142" t="n">
        <x:v>0</x:v>
      </x:c>
      <x:c r="D38" s="143" t="n">
        <x:v>5.41</x:v>
      </x:c>
      <x:c r="E38" s="143" t="n">
        <x:v>3.36</x:v>
      </x:c>
      <x:c r="F38" s="144" t="n">
        <x:f>D38/E38</x:f>
        <x:v>1.6101190476190477</x:v>
      </x:c>
    </x:row>
    <x:row r="39">
      <x:c r="A39" s="141" t="n">
        <x:v>38</x:v>
      </x:c>
      <x:c r="B39" s="141" t="str">
        <x:v>Pass</x:v>
      </x:c>
      <x:c r="C39" s="142" t="n">
        <x:v>0</x:v>
      </x:c>
      <x:c r="D39" s="143" t="n">
        <x:v>5.42</x:v>
      </x:c>
      <x:c r="E39" s="143" t="n">
        <x:v>3.34</x:v>
      </x:c>
      <x:c r="F39" s="144" t="n">
        <x:f>D39/E39</x:f>
        <x:v>1.622754491017964</x:v>
      </x:c>
    </x:row>
    <x:row r="40">
      <x:c r="A40" s="141" t="n">
        <x:v>39</x:v>
      </x:c>
      <x:c r="B40" s="141" t="str">
        <x:v>Pass</x:v>
      </x:c>
      <x:c r="C40" s="142" t="n">
        <x:v>0</x:v>
      </x:c>
      <x:c r="D40" s="143" t="n">
        <x:v>5.6</x:v>
      </x:c>
      <x:c r="E40" s="143" t="n">
        <x:v>5.5</x:v>
      </x:c>
      <x:c r="F40" s="144" t="n">
        <x:f>D40/E40</x:f>
        <x:v>1.018181818181818</x:v>
      </x:c>
    </x:row>
    <x:row r="41">
      <x:c r="A41" s="141" t="n">
        <x:v>40</x:v>
      </x:c>
      <x:c r="B41" s="141" t="str">
        <x:v>Pass</x:v>
      </x:c>
      <x:c r="C41" s="142" t="n">
        <x:v>0</x:v>
      </x:c>
      <x:c r="D41" s="143" t="n">
        <x:v>5.63</x:v>
      </x:c>
      <x:c r="E41" s="143" t="n">
        <x:v>5.44</x:v>
      </x:c>
      <x:c r="F41" s="144" t="n">
        <x:f>D41/E41</x:f>
        <x:v>1.0349264705882353</x:v>
      </x:c>
    </x:row>
    <x:row r="42">
      <x:c r="A42" s="141" t="n">
        <x:v>41</x:v>
      </x:c>
      <x:c r="B42" s="141" t="str">
        <x:v>Pass</x:v>
      </x:c>
      <x:c r="C42" s="142" t="n">
        <x:v>0</x:v>
      </x:c>
      <x:c r="D42" s="143" t="n">
        <x:v>5.79</x:v>
      </x:c>
      <x:c r="E42" s="143" t="n">
        <x:v>5.56</x:v>
      </x:c>
      <x:c r="F42" s="144" t="n">
        <x:f>D42/E42</x:f>
        <x:v>1.0413669064748203</x:v>
      </x:c>
    </x:row>
    <x:row r="43">
      <x:c r="A43" s="141" t="n">
        <x:v>42</x:v>
      </x:c>
      <x:c r="B43" s="141" t="str">
        <x:v>Pass</x:v>
      </x:c>
      <x:c r="C43" s="142" t="n">
        <x:v>0</x:v>
      </x:c>
      <x:c r="D43" s="143" t="n">
        <x:v>6.05</x:v>
      </x:c>
      <x:c r="E43" s="143" t="n">
        <x:v>5.82</x:v>
      </x:c>
      <x:c r="F43" s="144" t="n">
        <x:f>D43/E43</x:f>
        <x:v>1.0395189003436425</x:v>
      </x:c>
    </x:row>
    <x:row r="44">
      <x:c r="A44" s="141" t="n">
        <x:v>43</x:v>
      </x:c>
      <x:c r="B44" s="141" t="str">
        <x:v>Pass</x:v>
      </x:c>
      <x:c r="C44" s="142" t="n">
        <x:v>0</x:v>
      </x:c>
      <x:c r="D44" s="143" t="n">
        <x:v>8.2</x:v>
      </x:c>
      <x:c r="E44" s="143" t="n">
        <x:v>7.81</x:v>
      </x:c>
      <x:c r="F44" s="144" t="n">
        <x:f>D44/E44</x:f>
        <x:v>1.0499359795134442</x:v>
      </x:c>
    </x:row>
    <x:row r="45">
      <x:c r="A45" s="141" t="n">
        <x:v>44</x:v>
      </x:c>
      <x:c r="B45" s="141" t="str">
        <x:v>Pass</x:v>
      </x:c>
      <x:c r="C45" s="142" t="n">
        <x:v>0</x:v>
      </x:c>
      <x:c r="D45" s="143" t="n">
        <x:v>8.48</x:v>
      </x:c>
      <x:c r="E45" s="143" t="n">
        <x:v>7.99</x:v>
      </x:c>
      <x:c r="F45" s="144" t="n">
        <x:f>D45/E45</x:f>
        <x:v>1.0613266583229037</x:v>
      </x:c>
    </x:row>
    <x:row r="46">
      <x:c r="A46" s="141" t="n">
        <x:v>45</x:v>
      </x:c>
      <x:c r="B46" s="141" t="str">
        <x:v>Pass</x:v>
      </x:c>
      <x:c r="C46" s="142" t="n">
        <x:v>0</x:v>
      </x:c>
      <x:c r="D46" s="143" t="n">
        <x:v>10.98</x:v>
      </x:c>
      <x:c r="E46" s="143" t="n">
        <x:v>10.52</x:v>
      </x:c>
      <x:c r="F46" s="144" t="n">
        <x:f>D46/E46</x:f>
        <x:v>1.043726235741445</x:v>
      </x:c>
    </x:row>
    <x:row r="47">
      <x:c r="A47" s="141" t="n">
        <x:v>46</x:v>
      </x:c>
      <x:c r="B47" s="141" t="str">
        <x:v>Pass</x:v>
      </x:c>
      <x:c r="C47" s="142" t="n">
        <x:v>0</x:v>
      </x:c>
      <x:c r="D47" s="143" t="n">
        <x:v>66.9</x:v>
      </x:c>
      <x:c r="E47" s="143" t="n">
        <x:v>65.17</x:v>
      </x:c>
      <x:c r="F47" s="144" t="n">
        <x:f>D47/E47</x:f>
        <x:v>1.0265459567285562</x:v>
      </x:c>
    </x:row>
    <x:row r="48">
      <x:c r="A48" s="141" t="n">
        <x:v>47</x:v>
      </x:c>
      <x:c r="B48" s="141" t="str">
        <x:v>Pass</x:v>
      </x:c>
      <x:c r="C48" s="142" t="n">
        <x:v>0</x:v>
      </x:c>
      <x:c r="D48" s="143" t="n">
        <x:v>67.77</x:v>
      </x:c>
      <x:c r="E48" s="143" t="n">
        <x:v>65.1</x:v>
      </x:c>
      <x:c r="F48" s="144" t="n">
        <x:f>D48/E48</x:f>
        <x:v>1.0410138248847927</x:v>
      </x:c>
    </x:row>
    <x:row r="49">
      <x:c r="A49" s="141" t="n">
        <x:v>48</x:v>
      </x:c>
      <x:c r="B49" s="141" t="str">
        <x:v>Pass</x:v>
      </x:c>
      <x:c r="C49" s="142" t="n">
        <x:v>0</x:v>
      </x:c>
      <x:c r="D49" s="143" t="n">
        <x:v>158.86</x:v>
      </x:c>
      <x:c r="E49" s="143" t="n">
        <x:v>154.55</x:v>
      </x:c>
      <x:c r="F49" s="144" t="n">
        <x:f>D49/E49</x:f>
        <x:v>1.027887415076027</x:v>
      </x:c>
    </x:row>
    <x:row r="50">
      <x:c r="A50" s="141" t="n">
        <x:v>49</x:v>
      </x:c>
      <x:c r="B50" s="141" t="str">
        <x:v>Pass</x:v>
      </x:c>
      <x:c r="C50" s="142" t="n">
        <x:v>0</x:v>
      </x:c>
      <x:c r="D50" s="143" t="n">
        <x:v>272.23</x:v>
      </x:c>
      <x:c r="E50" s="143" t="n">
        <x:v>265.78</x:v>
      </x:c>
      <x:c r="F50" s="144" t="n">
        <x:f>D50/E50</x:f>
        <x:v>1.0242681917375274</x:v>
      </x:c>
    </x:row>
    <x:row r="51">
      <x:c r="A51" s="145" t="n">
        <x:v>50</x:v>
      </x:c>
      <x:c r="B51" s="145" t="str">
        <x:v>Pass</x:v>
      </x:c>
      <x:c r="C51" s="146" t="n">
        <x:v>0</x:v>
      </x:c>
      <x:c r="D51" s="147" t="n">
        <x:v>614</x:v>
      </x:c>
      <x:c r="E51" s="147" t="n">
        <x:v>596.02</x:v>
      </x:c>
      <x:c r="F51" s="148" t="n">
        <x:f>D51/E51</x:f>
        <x:v>1.030166772927083</x:v>
      </x:c>
    </x:row>
  </x:sheetData>
  <x:conditionalFormatting sqref="B2:B51">
    <x:cfRule type="containsText" dxfId="0" priority="1" operator="containsText" text="Pass"/>
  </x:conditionalFormatting>
  <x:conditionalFormatting sqref="C2:C51">
    <x:cfRule type="cellIs" dxfId="1" priority="2" operator="equal">
      <x:formula>0</x:formula>
    </x:cfRule>
  </x:conditionalFormatting>
  <x:pageMargins left="0.7" right="0.7" top="0.75" bottom="0.75" header="0.3" footer="0.3"/>
  <x:drawing xmlns:r="http://schemas.openxmlformats.org/officeDocument/2006/relationships" r:id="R95204c198d4c4556"/>
  <x:tableParts count="1">
    <x:tablePart xmlns:r="http://schemas.openxmlformats.org/officeDocument/2006/relationships" r:id="R1d70360f4279496d"/>
  </x:tableParts>
</x:worksheet>
</file>